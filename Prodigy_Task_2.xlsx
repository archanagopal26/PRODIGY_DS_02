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6935" windowHeight="9405"/>
  </bookViews>
  <sheets>
    <sheet name="Cleaned Titanic Data" sheetId="1" r:id="rId1"/>
    <sheet name="EDA Dashboard" sheetId="2" r:id="rId2"/>
  </sheets>
  <calcPr calcId="124519"/>
</workbook>
</file>

<file path=xl/calcChain.xml><?xml version="1.0" encoding="utf-8"?>
<calcChain xmlns="http://schemas.openxmlformats.org/spreadsheetml/2006/main">
  <c r="C17" i="2"/>
  <c r="B17"/>
  <c r="C16"/>
  <c r="B16"/>
  <c r="C15"/>
  <c r="B15"/>
  <c r="C10"/>
  <c r="B10"/>
  <c r="C9"/>
  <c r="B9"/>
  <c r="E5"/>
  <c r="C5"/>
  <c r="A5"/>
</calcChain>
</file>

<file path=xl/sharedStrings.xml><?xml version="1.0" encoding="utf-8"?>
<sst xmlns="http://schemas.openxmlformats.org/spreadsheetml/2006/main" count="129" uniqueCount="57">
  <si>
    <t>Passenger ID</t>
  </si>
  <si>
    <t>Survived</t>
  </si>
  <si>
    <t>Pclass (Class)</t>
  </si>
  <si>
    <t>Name</t>
  </si>
  <si>
    <t>Sex</t>
  </si>
  <si>
    <t>Age</t>
  </si>
  <si>
    <t>SibSp</t>
  </si>
  <si>
    <t>Parch</t>
  </si>
  <si>
    <t>Fare</t>
  </si>
  <si>
    <t>Embarked</t>
  </si>
  <si>
    <t>Age Group</t>
  </si>
  <si>
    <t>No</t>
  </si>
  <si>
    <t>Braund, Mr. Owen Harris</t>
  </si>
  <si>
    <t>male</t>
  </si>
  <si>
    <t>Southampton</t>
  </si>
  <si>
    <t>18-35</t>
  </si>
  <si>
    <t>Yes</t>
  </si>
  <si>
    <t>Cumings, Mrs. John Bradley (Florence Briggs Thayer)</t>
  </si>
  <si>
    <t>female</t>
  </si>
  <si>
    <t>Cherbourg</t>
  </si>
  <si>
    <t>36-55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</si>
  <si>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</si>
  <si>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</si>
  <si>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</si>
  <si>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</si>
  <si>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</si>
  <si>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</si>
  <si>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</si>
  <si>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0-17</t>
  </si>
  <si>
    <t>Johnson, Mrs. Oscar W (Elisabeth Vilhelmina Berg)</t>
  </si>
  <si>
    <t>Nasser, Mrs. Nicholas (Adele Achem)</t>
  </si>
  <si>
    <t>Sandstrom, Miss. Marguerite Rut</t>
  </si>
  <si>
    <t>Bonnell, Miss. Elizabeth</t>
  </si>
  <si>
    <t>56+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</si>
  <si>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</si>
  <si>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</si>
  <si>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</si>
  <si>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</si>
  <si>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</si>
  <si>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</si>
  <si>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</si>
  <si>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</si>
  <si>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Task 2: Titanic Dataset Exploratory Data Analysis (EDA)</t>
  </si>
  <si>
    <t>TOTAL PASSENGERS</t>
  </si>
  <si>
    <t>OVERALL SURVIVAL RATE</t>
  </si>
  <si>
    <t>AVERAGE FARE PAID</t>
  </si>
  <si>
    <t>Survival Analysis by Gender</t>
  </si>
  <si>
    <t>Gender</t>
  </si>
  <si>
    <t>Perished</t>
  </si>
  <si>
    <t>Female</t>
  </si>
  <si>
    <t>Male</t>
  </si>
  <si>
    <t>Survival Analysis by Passenger Class (Pclass)</t>
  </si>
  <si>
    <t>Class</t>
  </si>
  <si>
    <t>Class 1</t>
  </si>
  <si>
    <t>Class 2</t>
  </si>
  <si>
    <t>Class 3</t>
  </si>
  <si>
    <t>CLEANED DATA SET</t>
  </si>
</sst>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9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366092"/>
      <name val="Segoe UI"/>
    </font>
    <font>
      <b/>
      <sz val="9"/>
      <color rgb="FF595959"/>
      <name val="Segoe UI"/>
    </font>
    <font>
      <b/>
      <sz val="14"/>
      <color rgb="FF1F4E78"/>
      <name val="Segoe UI"/>
    </font>
    <font>
      <b/>
      <sz val="12"/>
      <color rgb="FF366092"/>
      <name val="Segoe UI"/>
    </font>
    <font>
      <b/>
      <sz val="10"/>
      <color rgb="FFFFFFFF"/>
      <name val="Segoe UI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9"/>
        <bgColor rgb="FFF2F5F9"/>
      </patternFill>
    </fill>
    <fill>
      <patternFill patternType="solid">
        <fgColor rgb="FFF2F2F2"/>
      </patternFill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A6A6A6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6" fillId="0" borderId="0" xfId="0" applyFont="1"/>
    <xf numFmtId="0" fontId="7" fillId="5" borderId="0" xfId="0" applyFont="1" applyFill="1"/>
    <xf numFmtId="0" fontId="2" fillId="0" borderId="0" xfId="0" applyFont="1"/>
    <xf numFmtId="0" fontId="4" fillId="4" borderId="2" xfId="0" applyFont="1" applyFill="1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vertical="center"/>
    </xf>
    <xf numFmtId="0" fontId="0" fillId="0" borderId="0" xfId="0"/>
    <xf numFmtId="165" fontId="5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Survival Distribution by Gender (EDA Pattern)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'EDA Dashboard'!$B$8</c:f>
              <c:strCache>
                <c:ptCount val="1"/>
                <c:pt idx="0">
                  <c:v>Survived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'EDA Dashboard'!$A$9:$A$10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'EDA Dashboard'!$B$9:$B$10</c:f>
              <c:numCache>
                <c:formatCode>General</c:formatCode>
                <c:ptCount val="2"/>
                <c:pt idx="0">
                  <c:v>9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strRef>
              <c:f>'EDA Dashboard'!$C$8</c:f>
              <c:strCache>
                <c:ptCount val="1"/>
                <c:pt idx="0">
                  <c:v>Perished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'EDA Dashboard'!$A$9:$A$10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'EDA Dashboard'!$C$9:$C$10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</c:ser>
        <c:overlap val="100"/>
        <c:axId val="160271360"/>
        <c:axId val="112088192"/>
      </c:barChart>
      <c:catAx>
        <c:axId val="160271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/>
        </c:title>
        <c:majorTickMark val="none"/>
        <c:tickLblPos val="nextTo"/>
        <c:crossAx val="112088192"/>
        <c:crosses val="autoZero"/>
        <c:lblAlgn val="ctr"/>
        <c:lblOffset val="100"/>
      </c:catAx>
      <c:valAx>
        <c:axId val="11208819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Passenger Count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6027136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Survival Distribution by Passenger Class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'EDA Dashboard'!$B$14</c:f>
              <c:strCache>
                <c:ptCount val="1"/>
                <c:pt idx="0">
                  <c:v>Survived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'EDA Dashboard'!$A$15:$A$17</c:f>
              <c:strCache>
                <c:ptCount val="3"/>
                <c:pt idx="0">
                  <c:v>Class 1</c:v>
                </c:pt>
                <c:pt idx="1">
                  <c:v>Class 2</c:v>
                </c:pt>
                <c:pt idx="2">
                  <c:v>Class 3</c:v>
                </c:pt>
              </c:strCache>
            </c:strRef>
          </c:cat>
          <c:val>
            <c:numRef>
              <c:f>'EDA Dashboard'!$B$15:$B$17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'EDA Dashboard'!$C$14</c:f>
              <c:strCache>
                <c:ptCount val="1"/>
                <c:pt idx="0">
                  <c:v>Perished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'EDA Dashboard'!$A$15:$A$17</c:f>
              <c:strCache>
                <c:ptCount val="3"/>
                <c:pt idx="0">
                  <c:v>Class 1</c:v>
                </c:pt>
                <c:pt idx="1">
                  <c:v>Class 2</c:v>
                </c:pt>
                <c:pt idx="2">
                  <c:v>Class 3</c:v>
                </c:pt>
              </c:strCache>
            </c:strRef>
          </c:cat>
          <c:val>
            <c:numRef>
              <c:f>'EDA Dashboard'!$C$15:$C$17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9</c:v>
                </c:pt>
              </c:numCache>
            </c:numRef>
          </c:val>
        </c:ser>
        <c:axId val="112101248"/>
        <c:axId val="112119808"/>
      </c:barChart>
      <c:catAx>
        <c:axId val="1121012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Ticket Class</a:t>
                </a:r>
              </a:p>
            </c:rich>
          </c:tx>
          <c:layout/>
        </c:title>
        <c:majorTickMark val="none"/>
        <c:tickLblPos val="nextTo"/>
        <c:crossAx val="112119808"/>
        <c:crosses val="autoZero"/>
        <c:lblAlgn val="ctr"/>
        <c:lblOffset val="100"/>
      </c:catAx>
      <c:valAx>
        <c:axId val="11211980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Passenger Count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1210124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540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342900</xdr:colOff>
      <xdr:row>25</xdr:row>
      <xdr:rowOff>38100</xdr:rowOff>
    </xdr:from>
    <xdr:ext cx="5400000" cy="36000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selection activeCell="D26" sqref="D26"/>
    </sheetView>
  </sheetViews>
  <sheetFormatPr defaultRowHeight="15"/>
  <cols>
    <col min="1" max="1" width="15" customWidth="1"/>
    <col min="2" max="2" width="11" customWidth="1"/>
    <col min="3" max="3" width="17" customWidth="1"/>
    <col min="4" max="4" width="58" customWidth="1"/>
    <col min="5" max="9" width="11" customWidth="1"/>
    <col min="10" max="10" width="14" customWidth="1"/>
    <col min="11" max="11" width="12" customWidth="1"/>
  </cols>
  <sheetData>
    <row r="1" spans="1:11" ht="31.5">
      <c r="A1" s="18" t="s">
        <v>56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s="2">
        <v>1</v>
      </c>
      <c r="B3" s="2" t="s">
        <v>11</v>
      </c>
      <c r="C3" s="2">
        <v>3</v>
      </c>
      <c r="D3" s="3" t="s">
        <v>12</v>
      </c>
      <c r="E3" s="3" t="s">
        <v>13</v>
      </c>
      <c r="F3" s="2">
        <v>22</v>
      </c>
      <c r="G3" s="2">
        <v>1</v>
      </c>
      <c r="H3" s="2">
        <v>0</v>
      </c>
      <c r="I3" s="4">
        <v>7.25</v>
      </c>
      <c r="J3" s="3" t="s">
        <v>14</v>
      </c>
      <c r="K3" s="2" t="s">
        <v>15</v>
      </c>
    </row>
    <row r="4" spans="1:11">
      <c r="A4" s="5">
        <v>2</v>
      </c>
      <c r="B4" s="5" t="s">
        <v>16</v>
      </c>
      <c r="C4" s="5">
        <v>1</v>
      </c>
      <c r="D4" s="6" t="s">
        <v>17</v>
      </c>
      <c r="E4" s="6" t="s">
        <v>18</v>
      </c>
      <c r="F4" s="5">
        <v>38</v>
      </c>
      <c r="G4" s="5">
        <v>1</v>
      </c>
      <c r="H4" s="5">
        <v>0</v>
      </c>
      <c r="I4" s="7">
        <v>71.283299999999997</v>
      </c>
      <c r="J4" s="6" t="s">
        <v>19</v>
      </c>
      <c r="K4" s="5" t="s">
        <v>20</v>
      </c>
    </row>
    <row r="5" spans="1:11">
      <c r="A5" s="2">
        <v>3</v>
      </c>
      <c r="B5" s="2" t="s">
        <v>16</v>
      </c>
      <c r="C5" s="2">
        <v>3</v>
      </c>
      <c r="D5" s="3" t="s">
        <v>21</v>
      </c>
      <c r="E5" s="3" t="s">
        <v>18</v>
      </c>
      <c r="F5" s="2">
        <v>26</v>
      </c>
      <c r="G5" s="2">
        <v>0</v>
      </c>
      <c r="H5" s="2">
        <v>0</v>
      </c>
      <c r="I5" s="4">
        <v>7.9249999999999998</v>
      </c>
      <c r="J5" s="3" t="s">
        <v>14</v>
      </c>
      <c r="K5" s="2" t="s">
        <v>15</v>
      </c>
    </row>
    <row r="6" spans="1:11">
      <c r="A6" s="5">
        <v>4</v>
      </c>
      <c r="B6" s="5" t="s">
        <v>16</v>
      </c>
      <c r="C6" s="5">
        <v>1</v>
      </c>
      <c r="D6" s="6" t="s">
        <v>22</v>
      </c>
      <c r="E6" s="6" t="s">
        <v>18</v>
      </c>
      <c r="F6" s="5">
        <v>35</v>
      </c>
      <c r="G6" s="5">
        <v>1</v>
      </c>
      <c r="H6" s="5">
        <v>0</v>
      </c>
      <c r="I6" s="7">
        <v>53.1</v>
      </c>
      <c r="J6" s="6" t="s">
        <v>14</v>
      </c>
      <c r="K6" s="5" t="s">
        <v>15</v>
      </c>
    </row>
    <row r="7" spans="1:11">
      <c r="A7" s="2">
        <v>5</v>
      </c>
      <c r="B7" s="2" t="s">
        <v>11</v>
      </c>
      <c r="C7" s="2">
        <v>3</v>
      </c>
      <c r="D7" s="3" t="s">
        <v>23</v>
      </c>
      <c r="E7" s="3" t="s">
        <v>13</v>
      </c>
      <c r="F7" s="2">
        <v>35</v>
      </c>
      <c r="G7" s="2">
        <v>0</v>
      </c>
      <c r="H7" s="2">
        <v>0</v>
      </c>
      <c r="I7" s="4">
        <v>8.0500000000000007</v>
      </c>
      <c r="J7" s="3" t="s">
        <v>14</v>
      </c>
      <c r="K7" s="2" t="s">
        <v>15</v>
      </c>
    </row>
    <row r="8" spans="1:11">
      <c r="A8" s="5">
        <v>6</v>
      </c>
      <c r="B8" s="5" t="s">
        <v>11</v>
      </c>
      <c r="C8" s="5">
        <v>3</v>
      </c>
      <c r="D8" s="6" t="s">
        <v>24</v>
      </c>
      <c r="E8" s="6" t="s">
        <v>13</v>
      </c>
      <c r="F8" s="5">
        <v>28</v>
      </c>
      <c r="G8" s="5">
        <v>0</v>
      </c>
      <c r="H8" s="5">
        <v>0</v>
      </c>
      <c r="I8" s="7">
        <v>8.4582999999999995</v>
      </c>
      <c r="J8" s="6" t="s">
        <v>25</v>
      </c>
      <c r="K8" s="5" t="s">
        <v>15</v>
      </c>
    </row>
    <row r="9" spans="1:11">
      <c r="A9" s="2">
        <v>7</v>
      </c>
      <c r="B9" s="2" t="s">
        <v>11</v>
      </c>
      <c r="C9" s="2">
        <v>1</v>
      </c>
      <c r="D9" s="3" t="s">
        <v>26</v>
      </c>
      <c r="E9" s="3" t="s">
        <v>13</v>
      </c>
      <c r="F9" s="2">
        <v>54</v>
      </c>
      <c r="G9" s="2">
        <v>0</v>
      </c>
      <c r="H9" s="2">
        <v>0</v>
      </c>
      <c r="I9" s="4">
        <v>51.862499999999997</v>
      </c>
      <c r="J9" s="3" t="s">
        <v>14</v>
      </c>
      <c r="K9" s="2" t="s">
        <v>20</v>
      </c>
    </row>
    <row r="10" spans="1:11">
      <c r="A10" s="5">
        <v>8</v>
      </c>
      <c r="B10" s="5" t="s">
        <v>11</v>
      </c>
      <c r="C10" s="5">
        <v>3</v>
      </c>
      <c r="D10" s="6" t="s">
        <v>27</v>
      </c>
      <c r="E10" s="6" t="s">
        <v>13</v>
      </c>
      <c r="F10" s="5">
        <v>2</v>
      </c>
      <c r="G10" s="5">
        <v>3</v>
      </c>
      <c r="H10" s="5">
        <v>1</v>
      </c>
      <c r="I10" s="7">
        <v>21.074999999999999</v>
      </c>
      <c r="J10" s="6" t="s">
        <v>14</v>
      </c>
      <c r="K10" s="5" t="s">
        <v>28</v>
      </c>
    </row>
    <row r="11" spans="1:11">
      <c r="A11" s="2">
        <v>9</v>
      </c>
      <c r="B11" s="2" t="s">
        <v>16</v>
      </c>
      <c r="C11" s="2">
        <v>3</v>
      </c>
      <c r="D11" s="3" t="s">
        <v>29</v>
      </c>
      <c r="E11" s="3" t="s">
        <v>18</v>
      </c>
      <c r="F11" s="2">
        <v>27</v>
      </c>
      <c r="G11" s="2">
        <v>0</v>
      </c>
      <c r="H11" s="2">
        <v>2</v>
      </c>
      <c r="I11" s="4">
        <v>11.1333</v>
      </c>
      <c r="J11" s="3" t="s">
        <v>14</v>
      </c>
      <c r="K11" s="2" t="s">
        <v>15</v>
      </c>
    </row>
    <row r="12" spans="1:11">
      <c r="A12" s="5">
        <v>10</v>
      </c>
      <c r="B12" s="5" t="s">
        <v>16</v>
      </c>
      <c r="C12" s="5">
        <v>2</v>
      </c>
      <c r="D12" s="6" t="s">
        <v>30</v>
      </c>
      <c r="E12" s="6" t="s">
        <v>18</v>
      </c>
      <c r="F12" s="5">
        <v>14</v>
      </c>
      <c r="G12" s="5">
        <v>1</v>
      </c>
      <c r="H12" s="5">
        <v>0</v>
      </c>
      <c r="I12" s="7">
        <v>30.070799999999998</v>
      </c>
      <c r="J12" s="6" t="s">
        <v>19</v>
      </c>
      <c r="K12" s="5" t="s">
        <v>28</v>
      </c>
    </row>
    <row r="13" spans="1:11">
      <c r="A13" s="2">
        <v>11</v>
      </c>
      <c r="B13" s="2" t="s">
        <v>16</v>
      </c>
      <c r="C13" s="2">
        <v>3</v>
      </c>
      <c r="D13" s="3" t="s">
        <v>31</v>
      </c>
      <c r="E13" s="3" t="s">
        <v>18</v>
      </c>
      <c r="F13" s="2">
        <v>4</v>
      </c>
      <c r="G13" s="2">
        <v>1</v>
      </c>
      <c r="H13" s="2">
        <v>1</v>
      </c>
      <c r="I13" s="4">
        <v>16.7</v>
      </c>
      <c r="J13" s="3" t="s">
        <v>14</v>
      </c>
      <c r="K13" s="2" t="s">
        <v>28</v>
      </c>
    </row>
    <row r="14" spans="1:11">
      <c r="A14" s="5">
        <v>12</v>
      </c>
      <c r="B14" s="5" t="s">
        <v>16</v>
      </c>
      <c r="C14" s="5">
        <v>1</v>
      </c>
      <c r="D14" s="6" t="s">
        <v>32</v>
      </c>
      <c r="E14" s="6" t="s">
        <v>18</v>
      </c>
      <c r="F14" s="5">
        <v>58</v>
      </c>
      <c r="G14" s="5">
        <v>0</v>
      </c>
      <c r="H14" s="5">
        <v>0</v>
      </c>
      <c r="I14" s="7">
        <v>26.55</v>
      </c>
      <c r="J14" s="6" t="s">
        <v>14</v>
      </c>
      <c r="K14" s="5" t="s">
        <v>33</v>
      </c>
    </row>
    <row r="15" spans="1:11">
      <c r="A15" s="2">
        <v>13</v>
      </c>
      <c r="B15" s="2" t="s">
        <v>11</v>
      </c>
      <c r="C15" s="2">
        <v>3</v>
      </c>
      <c r="D15" s="3" t="s">
        <v>34</v>
      </c>
      <c r="E15" s="3" t="s">
        <v>13</v>
      </c>
      <c r="F15" s="2">
        <v>20</v>
      </c>
      <c r="G15" s="2">
        <v>0</v>
      </c>
      <c r="H15" s="2">
        <v>0</v>
      </c>
      <c r="I15" s="4">
        <v>8.0500000000000007</v>
      </c>
      <c r="J15" s="3" t="s">
        <v>14</v>
      </c>
      <c r="K15" s="2" t="s">
        <v>15</v>
      </c>
    </row>
    <row r="16" spans="1:11">
      <c r="A16" s="5">
        <v>14</v>
      </c>
      <c r="B16" s="5" t="s">
        <v>11</v>
      </c>
      <c r="C16" s="5">
        <v>3</v>
      </c>
      <c r="D16" s="6" t="s">
        <v>35</v>
      </c>
      <c r="E16" s="6" t="s">
        <v>13</v>
      </c>
      <c r="F16" s="5">
        <v>39</v>
      </c>
      <c r="G16" s="5">
        <v>1</v>
      </c>
      <c r="H16" s="5">
        <v>5</v>
      </c>
      <c r="I16" s="7">
        <v>31.274999999999999</v>
      </c>
      <c r="J16" s="6" t="s">
        <v>14</v>
      </c>
      <c r="K16" s="5" t="s">
        <v>20</v>
      </c>
    </row>
    <row r="17" spans="1:11">
      <c r="A17" s="2">
        <v>15</v>
      </c>
      <c r="B17" s="2" t="s">
        <v>11</v>
      </c>
      <c r="C17" s="2">
        <v>3</v>
      </c>
      <c r="D17" s="3" t="s">
        <v>36</v>
      </c>
      <c r="E17" s="3" t="s">
        <v>18</v>
      </c>
      <c r="F17" s="2">
        <v>14</v>
      </c>
      <c r="G17" s="2">
        <v>0</v>
      </c>
      <c r="H17" s="2">
        <v>0</v>
      </c>
      <c r="I17" s="4">
        <v>7.8541999999999996</v>
      </c>
      <c r="J17" s="3" t="s">
        <v>14</v>
      </c>
      <c r="K17" s="2" t="s">
        <v>28</v>
      </c>
    </row>
    <row r="18" spans="1:11">
      <c r="A18" s="5">
        <v>16</v>
      </c>
      <c r="B18" s="5" t="s">
        <v>16</v>
      </c>
      <c r="C18" s="5">
        <v>2</v>
      </c>
      <c r="D18" s="6" t="s">
        <v>37</v>
      </c>
      <c r="E18" s="6" t="s">
        <v>18</v>
      </c>
      <c r="F18" s="5">
        <v>55</v>
      </c>
      <c r="G18" s="5">
        <v>0</v>
      </c>
      <c r="H18" s="5">
        <v>0</v>
      </c>
      <c r="I18" s="7">
        <v>16</v>
      </c>
      <c r="J18" s="6" t="s">
        <v>14</v>
      </c>
      <c r="K18" s="5" t="s">
        <v>20</v>
      </c>
    </row>
    <row r="19" spans="1:11">
      <c r="A19" s="2">
        <v>17</v>
      </c>
      <c r="B19" s="2" t="s">
        <v>11</v>
      </c>
      <c r="C19" s="2">
        <v>3</v>
      </c>
      <c r="D19" s="3" t="s">
        <v>38</v>
      </c>
      <c r="E19" s="3" t="s">
        <v>13</v>
      </c>
      <c r="F19" s="2">
        <v>2</v>
      </c>
      <c r="G19" s="2">
        <v>4</v>
      </c>
      <c r="H19" s="2">
        <v>1</v>
      </c>
      <c r="I19" s="4">
        <v>29.125</v>
      </c>
      <c r="J19" s="3" t="s">
        <v>25</v>
      </c>
      <c r="K19" s="2" t="s">
        <v>28</v>
      </c>
    </row>
    <row r="20" spans="1:11">
      <c r="A20" s="5">
        <v>18</v>
      </c>
      <c r="B20" s="5" t="s">
        <v>16</v>
      </c>
      <c r="C20" s="5">
        <v>2</v>
      </c>
      <c r="D20" s="6" t="s">
        <v>39</v>
      </c>
      <c r="E20" s="6" t="s">
        <v>13</v>
      </c>
      <c r="F20" s="5">
        <v>28</v>
      </c>
      <c r="G20" s="5">
        <v>0</v>
      </c>
      <c r="H20" s="5">
        <v>0</v>
      </c>
      <c r="I20" s="7">
        <v>13</v>
      </c>
      <c r="J20" s="6" t="s">
        <v>14</v>
      </c>
      <c r="K20" s="5" t="s">
        <v>15</v>
      </c>
    </row>
    <row r="21" spans="1:11">
      <c r="A21" s="2">
        <v>19</v>
      </c>
      <c r="B21" s="2" t="s">
        <v>11</v>
      </c>
      <c r="C21" s="2">
        <v>3</v>
      </c>
      <c r="D21" s="3" t="s">
        <v>40</v>
      </c>
      <c r="E21" s="3" t="s">
        <v>18</v>
      </c>
      <c r="F21" s="2">
        <v>31</v>
      </c>
      <c r="G21" s="2">
        <v>1</v>
      </c>
      <c r="H21" s="2">
        <v>0</v>
      </c>
      <c r="I21" s="4">
        <v>18</v>
      </c>
      <c r="J21" s="3" t="s">
        <v>14</v>
      </c>
      <c r="K21" s="2" t="s">
        <v>15</v>
      </c>
    </row>
    <row r="22" spans="1:11">
      <c r="A22" s="5">
        <v>20</v>
      </c>
      <c r="B22" s="5" t="s">
        <v>16</v>
      </c>
      <c r="C22" s="5">
        <v>3</v>
      </c>
      <c r="D22" s="6" t="s">
        <v>41</v>
      </c>
      <c r="E22" s="6" t="s">
        <v>18</v>
      </c>
      <c r="F22" s="5">
        <v>28</v>
      </c>
      <c r="G22" s="5">
        <v>0</v>
      </c>
      <c r="H22" s="5">
        <v>0</v>
      </c>
      <c r="I22" s="7">
        <v>7.2249999999999996</v>
      </c>
      <c r="J22" s="6" t="s">
        <v>19</v>
      </c>
      <c r="K22" s="5" t="s">
        <v>15</v>
      </c>
    </row>
  </sheetData>
  <mergeCells count="1">
    <mergeCell ref="A1:K1"/>
  </mergeCells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topLeftCell="A2" workbookViewId="0">
      <selection activeCell="I35" sqref="I35"/>
    </sheetView>
  </sheetViews>
  <sheetFormatPr defaultRowHeight="15"/>
  <cols>
    <col min="1" max="1" width="38" customWidth="1"/>
    <col min="2" max="3" width="14" customWidth="1"/>
  </cols>
  <sheetData>
    <row r="1" spans="1:7">
      <c r="A1" s="13" t="s">
        <v>42</v>
      </c>
      <c r="B1" s="14"/>
      <c r="C1" s="14"/>
      <c r="D1" s="14"/>
      <c r="E1" s="14"/>
      <c r="F1" s="14"/>
      <c r="G1" s="14"/>
    </row>
    <row r="2" spans="1:7">
      <c r="A2" s="14"/>
      <c r="B2" s="14"/>
      <c r="C2" s="14"/>
      <c r="D2" s="14"/>
      <c r="E2" s="14"/>
      <c r="F2" s="14"/>
      <c r="G2" s="14"/>
    </row>
    <row r="4" spans="1:7">
      <c r="A4" s="11" t="s">
        <v>43</v>
      </c>
      <c r="B4" s="12"/>
      <c r="C4" s="11" t="s">
        <v>44</v>
      </c>
      <c r="D4" s="12"/>
      <c r="E4" s="11" t="s">
        <v>45</v>
      </c>
      <c r="F4" s="12"/>
    </row>
    <row r="5" spans="1:7" ht="20.25">
      <c r="A5" s="16">
        <f>COUNTA('Cleaned Titanic Data'!A3:A22)</f>
        <v>20</v>
      </c>
      <c r="B5" s="12"/>
      <c r="C5" s="15">
        <f>COUNTIF('Cleaned Titanic Data'!B3:B22,"Yes")/COUNTA('Cleaned Titanic Data'!A3:A22)</f>
        <v>0.5</v>
      </c>
      <c r="D5" s="12"/>
      <c r="E5" s="17">
        <f>AVERAGE('Cleaned Titanic Data'!I3:I22)</f>
        <v>22.199369999999998</v>
      </c>
      <c r="F5" s="12"/>
    </row>
    <row r="7" spans="1:7" ht="17.25">
      <c r="A7" s="8" t="s">
        <v>46</v>
      </c>
    </row>
    <row r="8" spans="1:7">
      <c r="A8" s="9" t="s">
        <v>47</v>
      </c>
      <c r="B8" s="9" t="s">
        <v>1</v>
      </c>
      <c r="C8" s="9" t="s">
        <v>48</v>
      </c>
    </row>
    <row r="9" spans="1:7">
      <c r="A9" s="10" t="s">
        <v>49</v>
      </c>
      <c r="B9" s="10">
        <f>COUNTIFS('Cleaned Titanic Data'!E$3:E$22, "female", 'Cleaned Titanic Data'!B$3:B$22, "Yes")</f>
        <v>9</v>
      </c>
      <c r="C9" s="10">
        <f>COUNTIFS('Cleaned Titanic Data'!E$3:E$22, "female", 'Cleaned Titanic Data'!B$3:B$22, "No")</f>
        <v>2</v>
      </c>
    </row>
    <row r="10" spans="1:7">
      <c r="A10" s="10" t="s">
        <v>50</v>
      </c>
      <c r="B10" s="10">
        <f>COUNTIFS('Cleaned Titanic Data'!E$3:E$22, "male", 'Cleaned Titanic Data'!B$3:B$22, "Yes")</f>
        <v>1</v>
      </c>
      <c r="C10" s="10">
        <f>COUNTIFS('Cleaned Titanic Data'!E$3:E$22, "male", 'Cleaned Titanic Data'!B$3:B$22, "No")</f>
        <v>8</v>
      </c>
    </row>
    <row r="13" spans="1:7" ht="17.25">
      <c r="A13" s="8" t="s">
        <v>51</v>
      </c>
    </row>
    <row r="14" spans="1:7">
      <c r="A14" s="9" t="s">
        <v>52</v>
      </c>
      <c r="B14" s="9" t="s">
        <v>1</v>
      </c>
      <c r="C14" s="9" t="s">
        <v>48</v>
      </c>
    </row>
    <row r="15" spans="1:7">
      <c r="A15" s="10" t="s">
        <v>53</v>
      </c>
      <c r="B15" s="10">
        <f>COUNTIFS('Cleaned Titanic Data'!C$3:C$22, 1, 'Cleaned Titanic Data'!B$3:B$22, "Yes")</f>
        <v>3</v>
      </c>
      <c r="C15" s="10">
        <f>COUNTIFS('Cleaned Titanic Data'!C$3:C$22, 1, 'Cleaned Titanic Data'!B$3:B$22, "No")</f>
        <v>1</v>
      </c>
    </row>
    <row r="16" spans="1:7">
      <c r="A16" s="10" t="s">
        <v>54</v>
      </c>
      <c r="B16" s="10">
        <f>COUNTIFS('Cleaned Titanic Data'!C$3:C$22, 2, 'Cleaned Titanic Data'!B$3:B$22, "Yes")</f>
        <v>3</v>
      </c>
      <c r="C16" s="10">
        <f>COUNTIFS('Cleaned Titanic Data'!C$3:C$22, 2, 'Cleaned Titanic Data'!B$3:B$22, "No")</f>
        <v>0</v>
      </c>
    </row>
    <row r="17" spans="1:3">
      <c r="A17" s="10" t="s">
        <v>55</v>
      </c>
      <c r="B17" s="10">
        <f>COUNTIFS('Cleaned Titanic Data'!C$3:C$22, 3, 'Cleaned Titanic Data'!B$3:B$22, "Yes")</f>
        <v>4</v>
      </c>
      <c r="C17" s="10">
        <f>COUNTIFS('Cleaned Titanic Data'!C$3:C$22, 3, 'Cleaned Titanic Data'!B$3:B$22, "No")</f>
        <v>9</v>
      </c>
    </row>
  </sheetData>
  <mergeCells count="7">
    <mergeCell ref="A4:B4"/>
    <mergeCell ref="E4:F4"/>
    <mergeCell ref="A1:G2"/>
    <mergeCell ref="C5:D5"/>
    <mergeCell ref="A5:B5"/>
    <mergeCell ref="E5:F5"/>
    <mergeCell ref="C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Titanic Data</vt:lpstr>
      <vt:lpstr>EDA 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2026-06-07T02:34:41Z</dcterms:created>
  <dcterms:modified xsi:type="dcterms:W3CDTF">2026-06-07T02:38:08Z</dcterms:modified>
</cp:coreProperties>
</file>